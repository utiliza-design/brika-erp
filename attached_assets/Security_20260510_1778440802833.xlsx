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jelenkiewicz/Documents/Brika/Banco Security/"/>
    </mc:Choice>
  </mc:AlternateContent>
  <xr:revisionPtr revIDLastSave="0" documentId="13_ncr:1_{58473625-1B96-B64A-ACA8-EFE96EBCF56F}" xr6:coauthVersionLast="47" xr6:coauthVersionMax="47" xr10:uidLastSave="{00000000-0000-0000-0000-000000000000}"/>
  <bookViews>
    <workbookView xWindow="1180" yWindow="1500" windowWidth="27240" windowHeight="15940" xr2:uid="{CB34BAA7-FCC3-FE41-BA85-B38C982FA71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</calcChain>
</file>

<file path=xl/sharedStrings.xml><?xml version="1.0" encoding="utf-8"?>
<sst xmlns="http://schemas.openxmlformats.org/spreadsheetml/2006/main" count="162" uniqueCount="74">
  <si>
    <t>SERVICLIMA ARREGLO AIRE AC</t>
  </si>
  <si>
    <t>BODEGA</t>
  </si>
  <si>
    <t>FERNANDO PINO TRANSPORTE 38</t>
  </si>
  <si>
    <t>IMPORTACION</t>
  </si>
  <si>
    <t>ABONO TRANSBANK</t>
  </si>
  <si>
    <t>VENTA</t>
  </si>
  <si>
    <t>CONSTRUCTORA BRICEÑO</t>
  </si>
  <si>
    <t>DEVOLUCION PEDRO SERRANI IMPORTACION 38</t>
  </si>
  <si>
    <t>OTRAS DEVOLUCIONES</t>
  </si>
  <si>
    <t>HOTEL ANTOFAGASTA</t>
  </si>
  <si>
    <t>TARJET CREDITO</t>
  </si>
  <si>
    <t>MARKETING Y PUBLICIDAD</t>
  </si>
  <si>
    <t>iVA EN COMISION</t>
  </si>
  <si>
    <t>GASTOS BANCARIOS</t>
  </si>
  <si>
    <t>PLAN EXTRA SOCIEDAD</t>
  </si>
  <si>
    <t>TRASPADO DEL CHILE</t>
  </si>
  <si>
    <t>MUESTRAS DE CHINA</t>
  </si>
  <si>
    <t>PRODUCTOS NUEVOS</t>
  </si>
  <si>
    <t>COMPRA VENTA MONEDA EXTRANJERA???</t>
  </si>
  <si>
    <t>PAGO TC</t>
  </si>
  <si>
    <t>ENVIOS ANDRES MINGO</t>
  </si>
  <si>
    <t xml:space="preserve">ENVIOS </t>
  </si>
  <si>
    <t>PAC TC</t>
  </si>
  <si>
    <t xml:space="preserve">MARI MARI </t>
  </si>
  <si>
    <t>PAGO IMPORTACION 39 ..50%</t>
  </si>
  <si>
    <t>TC</t>
  </si>
  <si>
    <t>OCIO TERRITORIAL</t>
  </si>
  <si>
    <t>IVA</t>
  </si>
  <si>
    <t>MERCADO PAGO</t>
  </si>
  <si>
    <t>KATARI HOTELERIA</t>
  </si>
  <si>
    <t>DIFERENCIA IMPUESTO DICIEMBRE / SANDRA</t>
  </si>
  <si>
    <t>SUELDOS</t>
  </si>
  <si>
    <t>IVA PLAN EXTRA SOCIENDAD</t>
  </si>
  <si>
    <t>TC INTERNACIONAL GOOGLE</t>
  </si>
  <si>
    <t>ABONO REALIZADO POR TRANSBANK</t>
  </si>
  <si>
    <t>TRANSFERENCIA DESDE Chile DE BRIKA SpA</t>
  </si>
  <si>
    <t>TRANSFERENCIA A Chile PARA Agencia de Aduana Pedr</t>
  </si>
  <si>
    <t>TURISMO EL ROSARIO VIÑA MATETIC</t>
  </si>
  <si>
    <t>PAGO TARJETA CREDITO POR INTERNET</t>
  </si>
  <si>
    <t>COMPRA USD POR INTERNET PARA PAGO T.CREDITO</t>
  </si>
  <si>
    <t>PLAN EXTRA SOCIEDAD (UF 0.1800)</t>
  </si>
  <si>
    <t>IVA EN COMISIONES/CUENTAS</t>
  </si>
  <si>
    <t>B 297</t>
  </si>
  <si>
    <t>B 298</t>
  </si>
  <si>
    <t>B 299</t>
  </si>
  <si>
    <t>B 300</t>
  </si>
  <si>
    <t>B 301</t>
  </si>
  <si>
    <t>B 302</t>
  </si>
  <si>
    <t>B 303</t>
  </si>
  <si>
    <t xml:space="preserve">B 304 - </t>
  </si>
  <si>
    <t>B 307- 299</t>
  </si>
  <si>
    <t>B 306</t>
  </si>
  <si>
    <t>B 308</t>
  </si>
  <si>
    <t>B 309</t>
  </si>
  <si>
    <t>B 311-312</t>
  </si>
  <si>
    <t>B 310</t>
  </si>
  <si>
    <t>B 313 - 299</t>
  </si>
  <si>
    <t>B 315</t>
  </si>
  <si>
    <t>B 316</t>
  </si>
  <si>
    <t>B 317</t>
  </si>
  <si>
    <t>B 319 - 303</t>
  </si>
  <si>
    <t>B 318-320</t>
  </si>
  <si>
    <t>B 321</t>
  </si>
  <si>
    <t>B 322</t>
  </si>
  <si>
    <t>B 323</t>
  </si>
  <si>
    <t>AÑO OK</t>
  </si>
  <si>
    <t>FECHA</t>
  </si>
  <si>
    <t>OBS</t>
  </si>
  <si>
    <t>RS</t>
  </si>
  <si>
    <t>CENTROS DE COSTO</t>
  </si>
  <si>
    <t>FACTURA/BOLETA</t>
  </si>
  <si>
    <t>GIRO</t>
  </si>
  <si>
    <t>DEPOSITOS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</si>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</sst>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€&quot;_-;\-* #,##0\ &quot;€&quot;_-;_-* &quot;-&quot;\ &quot;€&quot;_-;_-@_-"/>
    <numFmt numFmtId="41" formatCode="_-* #,##0_-;\-* #,##0_-;_-* &quot;-&quot;_-;_-@_-"/>
    <numFmt numFmtId="164" formatCode="_-&quot;$&quot;* #,##0_-;\-&quot;$&quot;* #,##0_-;_-&quot;$&quot;* &quot;-&quot;_-;_-@_-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7.5"/>
      <color theme="1"/>
      <name val="Verdana"/>
      <family val="2"/>
    </font>
    <font>
      <sz val="12"/>
      <color rgb="FF666666"/>
      <name val="Open Sans Semi"/>
      <charset val="1"/>
    </font>
    <font>
      <b/>
      <sz val="12"/>
      <color rgb="FF00B05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7">
    <xf numFmtId="0" fontId="0" fillId="0" borderId="0" xfId="0"/>
    <xf numFmtId="17" fontId="3" fillId="0" borderId="1" xfId="0" applyNumberFormat="1" applyFont="1" applyBorder="1"/>
    <xf numFmtId="14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0" borderId="3" xfId="0" applyBorder="1"/>
    <xf numFmtId="14" fontId="4" fillId="3" borderId="4" xfId="0" applyNumberFormat="1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center" wrapText="1"/>
    </xf>
    <xf numFmtId="14" fontId="0" fillId="0" borderId="0" xfId="0" applyNumberFormat="1"/>
    <xf numFmtId="0" fontId="5" fillId="0" borderId="4" xfId="0" applyFont="1" applyBorder="1"/>
    <xf numFmtId="0" fontId="4" fillId="3" borderId="6" xfId="0" applyFont="1" applyFill="1" applyBorder="1" applyAlignment="1">
      <alignment horizontal="left" wrapText="1"/>
    </xf>
    <xf numFmtId="41" fontId="2" fillId="0" borderId="1" xfId="1" applyFont="1" applyFill="1" applyBorder="1"/>
    <xf numFmtId="42" fontId="0" fillId="0" borderId="1" xfId="2" applyFont="1" applyBorder="1"/>
    <xf numFmtId="3" fontId="6" fillId="0" borderId="1" xfId="0" applyNumberFormat="1" applyFont="1" applyBorder="1"/>
    <xf numFmtId="3" fontId="6" fillId="0" borderId="2" xfId="0" applyNumberFormat="1" applyFont="1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64" fontId="0" fillId="0" borderId="1" xfId="2" applyNumberFormat="1" applyFont="1" applyBorder="1"/>
  </cellXfs>
  <cellStyles count="3">
    <cellStyle name="Millares [0]" xfId="1" builtinId="6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BD84-452A-DE45-A6DD-44428889BAE6}">
  <dimension ref="A1:I68"/>
  <sheetViews>
    <sheetView tabSelected="1" workbookViewId="0">
      <selection activeCell="I2" sqref="I2"/>
    </sheetView>
  </sheetViews>
  <sheetFormatPr baseColWidth="10" defaultRowHeight="16"/>
  <cols>
    <col min="1" max="1" width="7.6640625" bestFit="1" customWidth="1"/>
    <col min="2" max="2" width="8.5" bestFit="1" customWidth="1"/>
    <col min="3" max="3" width="41.33203125" bestFit="1" customWidth="1"/>
    <col min="4" max="4" width="4.33203125" bestFit="1" customWidth="1"/>
    <col min="5" max="5" width="23" bestFit="1" customWidth="1"/>
    <col min="6" max="6" width="19.33203125" bestFit="1" customWidth="1"/>
    <col min="7" max="7" width="10.5" bestFit="1" customWidth="1"/>
    <col min="8" max="8" width="12.83203125" bestFit="1" customWidth="1"/>
    <col min="9" max="9" width="11.83203125" bestFit="1" customWidth="1"/>
  </cols>
  <sheetData>
    <row r="1" spans="1:9" ht="20" thickBot="1">
      <c r="A1" t="s">
        <v>65</v>
      </c>
      <c r="B1" s="19" t="s">
        <v>66</v>
      </c>
      <c r="C1" s="20" t="s">
        <v>67</v>
      </c>
      <c r="D1" s="21" t="s">
        <v>68</v>
      </c>
      <c r="E1" s="22" t="s">
        <v>69</v>
      </c>
      <c r="F1" s="23" t="s">
        <v>70</v>
      </c>
      <c r="G1" s="24" t="s">
        <v>71</v>
      </c>
      <c r="H1" s="24" t="s">
        <v>72</v>
      </c>
      <c r="I1" s="25" t="s">
        <v>73</v>
      </c>
    </row>
    <row r="2" spans="1:9">
      <c r="A2" s="1">
        <v>46023</v>
      </c>
      <c r="B2" s="2">
        <v>46027</v>
      </c>
      <c r="C2" s="3" t="s">
        <v>0</v>
      </c>
      <c r="D2" s="3"/>
      <c r="E2" s="3" t="s">
        <v>1</v>
      </c>
      <c r="F2" s="3">
        <v>366</v>
      </c>
      <c r="G2" s="13">
        <v>95200</v>
      </c>
      <c r="H2" s="3"/>
      <c r="I2" s="14">
        <v>1496827</v>
      </c>
    </row>
    <row r="3" spans="1:9">
      <c r="A3" s="1">
        <v>46023</v>
      </c>
      <c r="B3" s="2">
        <v>46027</v>
      </c>
      <c r="C3" s="3" t="s">
        <v>2</v>
      </c>
      <c r="D3" s="3"/>
      <c r="E3" s="3" t="s">
        <v>3</v>
      </c>
      <c r="F3" s="3">
        <v>2363</v>
      </c>
      <c r="G3" s="13">
        <v>1089000</v>
      </c>
      <c r="H3" s="3"/>
      <c r="I3" s="26">
        <f t="shared" ref="I2:I65" si="0">I2-G3+H3</f>
        <v>407827</v>
      </c>
    </row>
    <row r="4" spans="1:9">
      <c r="A4" s="1">
        <v>46023</v>
      </c>
      <c r="B4" s="2">
        <v>46034</v>
      </c>
      <c r="C4" s="3" t="s">
        <v>4</v>
      </c>
      <c r="D4" s="3"/>
      <c r="E4" s="3" t="s">
        <v>5</v>
      </c>
      <c r="F4" s="3" t="s">
        <v>42</v>
      </c>
      <c r="G4" s="3"/>
      <c r="H4" s="15">
        <v>58467</v>
      </c>
      <c r="I4" s="26">
        <f t="shared" si="0"/>
        <v>466294</v>
      </c>
    </row>
    <row r="5" spans="1:9">
      <c r="A5" s="1">
        <v>46023</v>
      </c>
      <c r="B5" s="2">
        <v>46036</v>
      </c>
      <c r="C5" s="3" t="s">
        <v>6</v>
      </c>
      <c r="D5" s="3"/>
      <c r="E5" s="3" t="s">
        <v>5</v>
      </c>
      <c r="F5" s="3">
        <v>2409</v>
      </c>
      <c r="G5" s="3"/>
      <c r="H5" s="15">
        <v>188020</v>
      </c>
      <c r="I5" s="26">
        <f t="shared" si="0"/>
        <v>654314</v>
      </c>
    </row>
    <row r="6" spans="1:9">
      <c r="A6" s="1">
        <v>46023</v>
      </c>
      <c r="B6" s="2">
        <v>46043</v>
      </c>
      <c r="C6" s="3" t="s">
        <v>7</v>
      </c>
      <c r="D6" s="3"/>
      <c r="E6" s="3" t="s">
        <v>8</v>
      </c>
      <c r="F6" s="3"/>
      <c r="G6" s="3"/>
      <c r="H6" s="15">
        <v>807847</v>
      </c>
      <c r="I6" s="26">
        <f t="shared" si="0"/>
        <v>1462161</v>
      </c>
    </row>
    <row r="7" spans="1:9">
      <c r="A7" s="1">
        <v>46023</v>
      </c>
      <c r="B7" s="2">
        <v>46043</v>
      </c>
      <c r="C7" s="4" t="s">
        <v>9</v>
      </c>
      <c r="E7" s="5"/>
      <c r="F7" s="5"/>
      <c r="H7" s="16">
        <v>297500</v>
      </c>
      <c r="I7" s="26">
        <f t="shared" si="0"/>
        <v>1759661</v>
      </c>
    </row>
    <row r="8" spans="1:9">
      <c r="A8" s="1">
        <v>46023</v>
      </c>
      <c r="B8" s="2">
        <v>46049</v>
      </c>
      <c r="C8" s="3" t="s">
        <v>6</v>
      </c>
      <c r="D8" s="3"/>
      <c r="E8" s="3" t="s">
        <v>5</v>
      </c>
      <c r="F8" s="3">
        <v>2455</v>
      </c>
      <c r="G8" s="3"/>
      <c r="H8" s="15">
        <v>268940</v>
      </c>
      <c r="I8" s="26">
        <f t="shared" si="0"/>
        <v>2028601</v>
      </c>
    </row>
    <row r="9" spans="1:9">
      <c r="A9" s="1">
        <v>46023</v>
      </c>
      <c r="B9" s="2">
        <v>46049</v>
      </c>
      <c r="C9" s="3" t="s">
        <v>10</v>
      </c>
      <c r="D9" s="3"/>
      <c r="E9" s="3" t="s">
        <v>11</v>
      </c>
      <c r="F9" s="3"/>
      <c r="G9" s="13">
        <v>68289</v>
      </c>
      <c r="H9" s="3"/>
      <c r="I9" s="26">
        <f t="shared" si="0"/>
        <v>1960312</v>
      </c>
    </row>
    <row r="10" spans="1:9">
      <c r="A10" s="1">
        <v>46023</v>
      </c>
      <c r="B10" s="2">
        <v>46037</v>
      </c>
      <c r="C10" s="3" t="s">
        <v>4</v>
      </c>
      <c r="D10" s="3"/>
      <c r="E10" s="3" t="s">
        <v>5</v>
      </c>
      <c r="F10" s="3" t="s">
        <v>43</v>
      </c>
      <c r="G10" s="3"/>
      <c r="H10" s="15">
        <v>14568</v>
      </c>
      <c r="I10" s="26">
        <f t="shared" si="0"/>
        <v>1974880</v>
      </c>
    </row>
    <row r="11" spans="1:9">
      <c r="A11" s="1">
        <v>46023</v>
      </c>
      <c r="B11" s="2">
        <v>46051</v>
      </c>
      <c r="C11" s="3" t="s">
        <v>4</v>
      </c>
      <c r="D11" s="3"/>
      <c r="E11" s="3" t="s">
        <v>5</v>
      </c>
      <c r="F11" s="3" t="s">
        <v>44</v>
      </c>
      <c r="G11" s="3"/>
      <c r="H11" s="15">
        <v>27255</v>
      </c>
      <c r="I11" s="26">
        <f t="shared" si="0"/>
        <v>2002135</v>
      </c>
    </row>
    <row r="12" spans="1:9">
      <c r="A12" s="1">
        <v>46023</v>
      </c>
      <c r="B12" s="2">
        <v>46048</v>
      </c>
      <c r="C12" s="3" t="s">
        <v>12</v>
      </c>
      <c r="D12" s="3"/>
      <c r="E12" s="3" t="s">
        <v>13</v>
      </c>
      <c r="F12" s="3"/>
      <c r="G12" s="13">
        <v>1142</v>
      </c>
      <c r="H12" s="3"/>
      <c r="I12" s="26">
        <f t="shared" si="0"/>
        <v>2000993</v>
      </c>
    </row>
    <row r="13" spans="1:9">
      <c r="A13" s="1">
        <v>46023</v>
      </c>
      <c r="B13" s="2">
        <v>46048</v>
      </c>
      <c r="C13" s="3" t="s">
        <v>14</v>
      </c>
      <c r="D13" s="3"/>
      <c r="E13" s="3" t="s">
        <v>13</v>
      </c>
      <c r="F13" s="3"/>
      <c r="G13" s="13">
        <v>6009</v>
      </c>
      <c r="H13" s="3"/>
      <c r="I13" s="26">
        <f t="shared" si="0"/>
        <v>1994984</v>
      </c>
    </row>
    <row r="14" spans="1:9">
      <c r="A14" s="1">
        <v>46023</v>
      </c>
      <c r="B14" s="2">
        <v>46043</v>
      </c>
      <c r="C14" s="3" t="s">
        <v>15</v>
      </c>
      <c r="D14" s="3"/>
      <c r="E14" s="3"/>
      <c r="F14" s="3"/>
      <c r="G14" s="13"/>
      <c r="H14" s="15">
        <v>5000000</v>
      </c>
      <c r="I14" s="26">
        <f t="shared" si="0"/>
        <v>6994984</v>
      </c>
    </row>
    <row r="15" spans="1:9">
      <c r="A15" s="1">
        <v>46023</v>
      </c>
      <c r="B15" s="2">
        <v>46043</v>
      </c>
      <c r="C15" s="3" t="s">
        <v>15</v>
      </c>
      <c r="D15" s="3"/>
      <c r="E15" s="3"/>
      <c r="F15" s="3"/>
      <c r="G15" s="13"/>
      <c r="H15" s="15">
        <v>541280</v>
      </c>
      <c r="I15" s="26">
        <f t="shared" si="0"/>
        <v>7536264</v>
      </c>
    </row>
    <row r="16" spans="1:9">
      <c r="A16" s="1">
        <v>46023</v>
      </c>
      <c r="B16" s="2">
        <v>46041</v>
      </c>
      <c r="C16" s="3" t="s">
        <v>16</v>
      </c>
      <c r="D16" s="3"/>
      <c r="E16" s="3" t="s">
        <v>17</v>
      </c>
      <c r="F16" s="3"/>
      <c r="G16" s="13">
        <v>111750</v>
      </c>
      <c r="H16" s="3"/>
      <c r="I16" s="26">
        <f t="shared" si="0"/>
        <v>7424514</v>
      </c>
    </row>
    <row r="17" spans="1:9">
      <c r="A17" s="1">
        <v>46023</v>
      </c>
      <c r="B17" s="2">
        <v>46037</v>
      </c>
      <c r="C17" s="3" t="s">
        <v>18</v>
      </c>
      <c r="D17" s="3"/>
      <c r="E17" s="3" t="s">
        <v>11</v>
      </c>
      <c r="F17" s="3"/>
      <c r="G17" s="13">
        <v>62342</v>
      </c>
      <c r="H17" s="3"/>
      <c r="I17" s="26">
        <f t="shared" si="0"/>
        <v>7362172</v>
      </c>
    </row>
    <row r="18" spans="1:9">
      <c r="A18" s="1">
        <v>46023</v>
      </c>
      <c r="B18" s="2">
        <v>46037</v>
      </c>
      <c r="C18" s="3" t="s">
        <v>19</v>
      </c>
      <c r="D18" s="3"/>
      <c r="E18" s="3" t="s">
        <v>11</v>
      </c>
      <c r="F18" s="3"/>
      <c r="G18" s="13">
        <v>17374</v>
      </c>
      <c r="H18" s="3"/>
      <c r="I18" s="26">
        <f t="shared" si="0"/>
        <v>7344798</v>
      </c>
    </row>
    <row r="19" spans="1:9">
      <c r="A19" s="1">
        <v>46023</v>
      </c>
      <c r="B19" s="2">
        <v>46031</v>
      </c>
      <c r="C19" s="3" t="s">
        <v>20</v>
      </c>
      <c r="D19" s="3"/>
      <c r="E19" s="3" t="s">
        <v>21</v>
      </c>
      <c r="F19" s="3"/>
      <c r="G19" s="13">
        <v>115820</v>
      </c>
      <c r="H19" s="3"/>
      <c r="I19" s="26">
        <f t="shared" si="0"/>
        <v>7228978</v>
      </c>
    </row>
    <row r="20" spans="1:9">
      <c r="A20" s="1">
        <v>46023</v>
      </c>
      <c r="B20" s="2">
        <v>46028</v>
      </c>
      <c r="C20" s="3" t="s">
        <v>22</v>
      </c>
      <c r="D20" s="3"/>
      <c r="E20" s="3" t="s">
        <v>11</v>
      </c>
      <c r="F20" s="3"/>
      <c r="G20" s="13">
        <v>869</v>
      </c>
      <c r="H20" s="3"/>
      <c r="I20" s="26">
        <f t="shared" si="0"/>
        <v>7228109</v>
      </c>
    </row>
    <row r="21" spans="1:9">
      <c r="A21" s="1">
        <v>46054</v>
      </c>
      <c r="B21" s="2">
        <v>46057</v>
      </c>
      <c r="C21" s="3" t="s">
        <v>4</v>
      </c>
      <c r="D21" s="3"/>
      <c r="E21" s="3" t="s">
        <v>5</v>
      </c>
      <c r="F21" s="3" t="s">
        <v>45</v>
      </c>
      <c r="G21" s="13"/>
      <c r="H21" s="15">
        <v>20473</v>
      </c>
      <c r="I21" s="26">
        <f t="shared" si="0"/>
        <v>7248582</v>
      </c>
    </row>
    <row r="22" spans="1:9">
      <c r="A22" s="1">
        <v>46054</v>
      </c>
      <c r="B22" s="2">
        <v>46059</v>
      </c>
      <c r="C22" s="3" t="s">
        <v>23</v>
      </c>
      <c r="D22" s="3"/>
      <c r="E22" s="3" t="s">
        <v>5</v>
      </c>
      <c r="F22" s="3">
        <v>2401</v>
      </c>
      <c r="G22" s="13"/>
      <c r="H22" s="15">
        <v>892500</v>
      </c>
      <c r="I22" s="26">
        <f t="shared" si="0"/>
        <v>8141082</v>
      </c>
    </row>
    <row r="23" spans="1:9">
      <c r="A23" s="1">
        <v>46054</v>
      </c>
      <c r="B23" s="2">
        <v>46063</v>
      </c>
      <c r="C23" s="3" t="s">
        <v>4</v>
      </c>
      <c r="D23" s="3"/>
      <c r="E23" s="3" t="s">
        <v>5</v>
      </c>
      <c r="F23" s="3" t="s">
        <v>46</v>
      </c>
      <c r="G23" s="13"/>
      <c r="H23" s="15">
        <v>50691</v>
      </c>
      <c r="I23" s="26">
        <f t="shared" si="0"/>
        <v>8191773</v>
      </c>
    </row>
    <row r="24" spans="1:9">
      <c r="A24" s="1">
        <v>46054</v>
      </c>
      <c r="B24" s="2">
        <v>46065</v>
      </c>
      <c r="C24" s="3" t="s">
        <v>24</v>
      </c>
      <c r="D24" s="3"/>
      <c r="E24" s="3" t="s">
        <v>3</v>
      </c>
      <c r="F24" s="3"/>
      <c r="G24" s="13">
        <v>7127600</v>
      </c>
      <c r="H24" s="15"/>
      <c r="I24" s="26">
        <f t="shared" si="0"/>
        <v>1064173</v>
      </c>
    </row>
    <row r="25" spans="1:9">
      <c r="A25" s="1">
        <v>46054</v>
      </c>
      <c r="B25" s="2">
        <v>46069</v>
      </c>
      <c r="C25" s="3" t="s">
        <v>4</v>
      </c>
      <c r="D25" s="3"/>
      <c r="E25" s="3" t="s">
        <v>5</v>
      </c>
      <c r="F25" s="3" t="s">
        <v>47</v>
      </c>
      <c r="G25" s="13"/>
      <c r="H25" s="15">
        <v>22838</v>
      </c>
      <c r="I25" s="26">
        <f t="shared" si="0"/>
        <v>1087011</v>
      </c>
    </row>
    <row r="26" spans="1:9">
      <c r="A26" s="1">
        <v>46054</v>
      </c>
      <c r="B26" s="2">
        <v>46071</v>
      </c>
      <c r="C26" s="3" t="s">
        <v>4</v>
      </c>
      <c r="D26" s="3"/>
      <c r="E26" s="3" t="s">
        <v>5</v>
      </c>
      <c r="F26" s="3" t="s">
        <v>48</v>
      </c>
      <c r="G26" s="13"/>
      <c r="H26" s="15">
        <v>28263</v>
      </c>
      <c r="I26" s="26">
        <f t="shared" si="0"/>
        <v>1115274</v>
      </c>
    </row>
    <row r="27" spans="1:9">
      <c r="A27" s="1">
        <v>46054</v>
      </c>
      <c r="B27" s="2">
        <v>46076</v>
      </c>
      <c r="C27" s="3" t="s">
        <v>25</v>
      </c>
      <c r="D27" s="3"/>
      <c r="E27" s="3" t="s">
        <v>11</v>
      </c>
      <c r="F27" s="3"/>
      <c r="G27" s="13">
        <v>24269</v>
      </c>
      <c r="H27" s="3"/>
      <c r="I27" s="26">
        <f t="shared" si="0"/>
        <v>1091005</v>
      </c>
    </row>
    <row r="28" spans="1:9">
      <c r="A28" s="1">
        <v>46054</v>
      </c>
      <c r="B28" s="2">
        <v>46076</v>
      </c>
      <c r="C28" s="3" t="s">
        <v>25</v>
      </c>
      <c r="D28" s="3"/>
      <c r="E28" s="3" t="s">
        <v>11</v>
      </c>
      <c r="F28" s="3"/>
      <c r="G28" s="13">
        <v>61110</v>
      </c>
      <c r="H28" s="3"/>
      <c r="I28" s="26">
        <f t="shared" si="0"/>
        <v>1029895</v>
      </c>
    </row>
    <row r="29" spans="1:9">
      <c r="A29" s="1">
        <v>46054</v>
      </c>
      <c r="B29" s="2">
        <v>46076</v>
      </c>
      <c r="C29" s="3" t="s">
        <v>26</v>
      </c>
      <c r="D29" s="3"/>
      <c r="E29" s="3" t="s">
        <v>5</v>
      </c>
      <c r="F29" s="3">
        <v>2420</v>
      </c>
      <c r="G29" s="13"/>
      <c r="H29" s="15">
        <v>197302</v>
      </c>
      <c r="I29" s="26">
        <f t="shared" si="0"/>
        <v>1227197</v>
      </c>
    </row>
    <row r="30" spans="1:9">
      <c r="A30" s="1">
        <v>46054</v>
      </c>
      <c r="B30" s="2">
        <v>46078</v>
      </c>
      <c r="C30" s="3" t="s">
        <v>14</v>
      </c>
      <c r="D30" s="3"/>
      <c r="E30" s="3" t="s">
        <v>13</v>
      </c>
      <c r="F30" s="3"/>
      <c r="G30" s="13">
        <v>6018</v>
      </c>
      <c r="H30" s="3"/>
      <c r="I30" s="26">
        <f t="shared" si="0"/>
        <v>1221179</v>
      </c>
    </row>
    <row r="31" spans="1:9">
      <c r="A31" s="1">
        <v>46054</v>
      </c>
      <c r="B31" s="2">
        <v>46078</v>
      </c>
      <c r="C31" s="3" t="s">
        <v>27</v>
      </c>
      <c r="D31" s="3"/>
      <c r="E31" s="3" t="s">
        <v>13</v>
      </c>
      <c r="F31" s="3"/>
      <c r="G31" s="13">
        <v>1143</v>
      </c>
      <c r="H31" s="3"/>
      <c r="I31" s="26">
        <f t="shared" si="0"/>
        <v>1220036</v>
      </c>
    </row>
    <row r="32" spans="1:9">
      <c r="A32" s="1">
        <v>46054</v>
      </c>
      <c r="B32" s="2">
        <v>46078</v>
      </c>
      <c r="C32" s="3" t="s">
        <v>28</v>
      </c>
      <c r="D32" s="3"/>
      <c r="E32" s="3" t="s">
        <v>5</v>
      </c>
      <c r="F32" s="17" t="s">
        <v>49</v>
      </c>
      <c r="G32" s="3"/>
      <c r="H32" s="15">
        <v>58105</v>
      </c>
      <c r="I32" s="26">
        <f t="shared" si="0"/>
        <v>1278141</v>
      </c>
    </row>
    <row r="33" spans="1:9">
      <c r="A33" s="1">
        <v>46082</v>
      </c>
      <c r="B33" s="2">
        <v>46084</v>
      </c>
      <c r="C33" s="3" t="s">
        <v>4</v>
      </c>
      <c r="D33" s="3"/>
      <c r="E33" s="3" t="s">
        <v>5</v>
      </c>
      <c r="F33" s="17" t="s">
        <v>50</v>
      </c>
      <c r="G33" s="3"/>
      <c r="H33" s="15">
        <v>56848</v>
      </c>
      <c r="I33" s="26">
        <f t="shared" si="0"/>
        <v>1334989</v>
      </c>
    </row>
    <row r="34" spans="1:9">
      <c r="A34" s="1">
        <v>46082</v>
      </c>
      <c r="B34" s="2">
        <v>46084</v>
      </c>
      <c r="C34" s="3" t="s">
        <v>28</v>
      </c>
      <c r="D34" s="3"/>
      <c r="E34" s="3" t="s">
        <v>5</v>
      </c>
      <c r="F34" s="17" t="s">
        <v>51</v>
      </c>
      <c r="G34" s="3"/>
      <c r="H34" s="15">
        <v>105907</v>
      </c>
      <c r="I34" s="26">
        <f t="shared" si="0"/>
        <v>1440896</v>
      </c>
    </row>
    <row r="35" spans="1:9">
      <c r="A35" s="1">
        <v>46082</v>
      </c>
      <c r="B35" s="2">
        <v>46084</v>
      </c>
      <c r="C35" s="3" t="s">
        <v>28</v>
      </c>
      <c r="D35" s="3"/>
      <c r="E35" s="3" t="s">
        <v>5</v>
      </c>
      <c r="F35" s="17" t="s">
        <v>52</v>
      </c>
      <c r="G35" s="3"/>
      <c r="H35" s="15">
        <v>20010</v>
      </c>
      <c r="I35" s="26">
        <f t="shared" si="0"/>
        <v>1460906</v>
      </c>
    </row>
    <row r="36" spans="1:9">
      <c r="A36" s="1">
        <v>46082</v>
      </c>
      <c r="B36" s="2">
        <v>46085</v>
      </c>
      <c r="C36" s="3" t="s">
        <v>4</v>
      </c>
      <c r="D36" s="3"/>
      <c r="E36" s="3" t="s">
        <v>5</v>
      </c>
      <c r="F36" s="17" t="s">
        <v>53</v>
      </c>
      <c r="G36" s="3"/>
      <c r="H36" s="15">
        <v>36799</v>
      </c>
      <c r="I36" s="26">
        <f t="shared" si="0"/>
        <v>1497705</v>
      </c>
    </row>
    <row r="37" spans="1:9">
      <c r="A37" s="1">
        <v>46082</v>
      </c>
      <c r="B37" s="2">
        <v>46086</v>
      </c>
      <c r="C37" s="3" t="s">
        <v>9</v>
      </c>
      <c r="D37" s="3"/>
      <c r="E37" s="3" t="s">
        <v>5</v>
      </c>
      <c r="F37" s="17">
        <v>2467</v>
      </c>
      <c r="G37" s="3"/>
      <c r="H37" s="15">
        <v>1679090</v>
      </c>
      <c r="I37" s="26">
        <f t="shared" si="0"/>
        <v>3176795</v>
      </c>
    </row>
    <row r="38" spans="1:9">
      <c r="A38" s="1">
        <v>46082</v>
      </c>
      <c r="B38" s="2">
        <v>46092</v>
      </c>
      <c r="C38" s="3" t="s">
        <v>9</v>
      </c>
      <c r="D38" s="3"/>
      <c r="E38" s="3" t="s">
        <v>5</v>
      </c>
      <c r="F38" s="17">
        <v>2478</v>
      </c>
      <c r="G38" s="3"/>
      <c r="H38" s="15">
        <v>661640</v>
      </c>
      <c r="I38" s="26">
        <f t="shared" si="0"/>
        <v>3838435</v>
      </c>
    </row>
    <row r="39" spans="1:9">
      <c r="A39" s="1">
        <v>46082</v>
      </c>
      <c r="B39" s="2">
        <v>46101</v>
      </c>
      <c r="C39" s="3" t="s">
        <v>29</v>
      </c>
      <c r="D39" s="3"/>
      <c r="E39" s="3" t="s">
        <v>5</v>
      </c>
      <c r="F39" s="17">
        <v>2468</v>
      </c>
      <c r="G39" s="3"/>
      <c r="H39" s="15">
        <v>252280</v>
      </c>
      <c r="I39" s="26">
        <f t="shared" si="0"/>
        <v>4090715</v>
      </c>
    </row>
    <row r="40" spans="1:9">
      <c r="A40" s="1">
        <v>46082</v>
      </c>
      <c r="B40" s="2">
        <v>46105</v>
      </c>
      <c r="C40" s="3" t="s">
        <v>30</v>
      </c>
      <c r="D40" s="3"/>
      <c r="E40" s="3" t="s">
        <v>31</v>
      </c>
      <c r="F40" s="17"/>
      <c r="G40" s="13">
        <v>24675</v>
      </c>
      <c r="H40" s="3"/>
      <c r="I40" s="26">
        <f t="shared" si="0"/>
        <v>4066040</v>
      </c>
    </row>
    <row r="41" spans="1:9">
      <c r="A41" s="1">
        <v>46082</v>
      </c>
      <c r="B41" s="2">
        <v>46099</v>
      </c>
      <c r="C41" s="3" t="s">
        <v>4</v>
      </c>
      <c r="D41" s="3"/>
      <c r="E41" s="3" t="s">
        <v>5</v>
      </c>
      <c r="F41" s="17" t="s">
        <v>48</v>
      </c>
      <c r="G41" s="3"/>
      <c r="H41" s="15">
        <v>28480</v>
      </c>
      <c r="I41" s="26">
        <f t="shared" si="0"/>
        <v>4094520</v>
      </c>
    </row>
    <row r="42" spans="1:9">
      <c r="A42" s="1">
        <v>46082</v>
      </c>
      <c r="B42" s="2">
        <v>46104</v>
      </c>
      <c r="C42" s="3" t="s">
        <v>4</v>
      </c>
      <c r="D42" s="3"/>
      <c r="E42" s="3" t="s">
        <v>5</v>
      </c>
      <c r="F42" s="17"/>
      <c r="G42" s="3"/>
      <c r="H42" s="15">
        <v>238</v>
      </c>
      <c r="I42" s="26">
        <f t="shared" si="0"/>
        <v>4094758</v>
      </c>
    </row>
    <row r="43" spans="1:9">
      <c r="A43" s="1">
        <v>46082</v>
      </c>
      <c r="B43" s="2">
        <v>46105</v>
      </c>
      <c r="C43" s="3" t="s">
        <v>4</v>
      </c>
      <c r="D43" s="3"/>
      <c r="E43" s="3" t="s">
        <v>5</v>
      </c>
      <c r="F43" s="17" t="s">
        <v>54</v>
      </c>
      <c r="G43" s="3"/>
      <c r="H43" s="15">
        <v>40265</v>
      </c>
      <c r="I43" s="26">
        <f t="shared" si="0"/>
        <v>4135023</v>
      </c>
    </row>
    <row r="44" spans="1:9">
      <c r="A44" s="1">
        <v>46082</v>
      </c>
      <c r="B44" s="2">
        <v>45741</v>
      </c>
      <c r="C44" s="3" t="s">
        <v>28</v>
      </c>
      <c r="D44" s="3"/>
      <c r="E44" s="3" t="s">
        <v>5</v>
      </c>
      <c r="F44" s="17" t="s">
        <v>55</v>
      </c>
      <c r="G44" s="3"/>
      <c r="H44" s="15">
        <v>41943</v>
      </c>
      <c r="I44" s="26">
        <f t="shared" si="0"/>
        <v>4176966</v>
      </c>
    </row>
    <row r="45" spans="1:9">
      <c r="A45" s="1">
        <v>46082</v>
      </c>
      <c r="B45" s="2">
        <v>46107</v>
      </c>
      <c r="C45" s="3" t="s">
        <v>14</v>
      </c>
      <c r="D45" s="3"/>
      <c r="E45" s="3" t="s">
        <v>13</v>
      </c>
      <c r="F45" s="17"/>
      <c r="G45" s="13">
        <v>6028</v>
      </c>
      <c r="H45" s="3"/>
      <c r="I45" s="26">
        <f t="shared" si="0"/>
        <v>4170938</v>
      </c>
    </row>
    <row r="46" spans="1:9">
      <c r="A46" s="1">
        <v>46082</v>
      </c>
      <c r="B46" s="2">
        <v>46107</v>
      </c>
      <c r="C46" s="3" t="s">
        <v>32</v>
      </c>
      <c r="D46" s="3"/>
      <c r="E46" s="3" t="s">
        <v>13</v>
      </c>
      <c r="F46" s="17"/>
      <c r="G46" s="13">
        <v>1145</v>
      </c>
      <c r="H46" s="3"/>
      <c r="I46" s="26">
        <f t="shared" si="0"/>
        <v>4169793</v>
      </c>
    </row>
    <row r="47" spans="1:9">
      <c r="A47" s="1">
        <v>46082</v>
      </c>
      <c r="B47" s="2">
        <v>46107</v>
      </c>
      <c r="C47" s="3" t="s">
        <v>25</v>
      </c>
      <c r="D47" s="6"/>
      <c r="E47" s="3" t="s">
        <v>11</v>
      </c>
      <c r="F47" s="17"/>
      <c r="G47" s="13">
        <v>55055</v>
      </c>
      <c r="H47" s="3"/>
      <c r="I47" s="26">
        <f t="shared" si="0"/>
        <v>4114738</v>
      </c>
    </row>
    <row r="48" spans="1:9">
      <c r="A48" s="1">
        <v>46082</v>
      </c>
      <c r="B48" s="2">
        <v>46107</v>
      </c>
      <c r="C48" s="3" t="s">
        <v>33</v>
      </c>
      <c r="D48" s="6"/>
      <c r="E48" s="3" t="s">
        <v>11</v>
      </c>
      <c r="F48" s="17"/>
      <c r="G48" s="13">
        <v>65139</v>
      </c>
      <c r="H48" s="3"/>
      <c r="I48" s="26">
        <f t="shared" si="0"/>
        <v>4049599</v>
      </c>
    </row>
    <row r="49" spans="1:9">
      <c r="A49" s="1">
        <v>46082</v>
      </c>
      <c r="B49" s="2">
        <v>46112</v>
      </c>
      <c r="C49" s="3" t="s">
        <v>4</v>
      </c>
      <c r="D49" s="6"/>
      <c r="E49" s="3" t="s">
        <v>5</v>
      </c>
      <c r="F49" s="3" t="s">
        <v>56</v>
      </c>
      <c r="G49" s="3"/>
      <c r="H49" s="15">
        <v>42966</v>
      </c>
      <c r="I49" s="26">
        <f t="shared" si="0"/>
        <v>4092565</v>
      </c>
    </row>
    <row r="50" spans="1:9">
      <c r="A50" s="1">
        <v>46113</v>
      </c>
      <c r="B50" s="2">
        <v>46113</v>
      </c>
      <c r="C50" s="3" t="s">
        <v>28</v>
      </c>
      <c r="D50" s="6"/>
      <c r="E50" s="3" t="s">
        <v>5</v>
      </c>
      <c r="F50" s="18"/>
      <c r="G50" s="3"/>
      <c r="H50" s="15">
        <v>15200</v>
      </c>
      <c r="I50" s="26">
        <f t="shared" si="0"/>
        <v>4107765</v>
      </c>
    </row>
    <row r="51" spans="1:9">
      <c r="A51" s="1">
        <v>46113</v>
      </c>
      <c r="B51" s="2">
        <v>46119</v>
      </c>
      <c r="C51" s="3" t="s">
        <v>4</v>
      </c>
      <c r="D51" s="6"/>
      <c r="E51" s="3" t="s">
        <v>5</v>
      </c>
      <c r="F51" s="3" t="s">
        <v>57</v>
      </c>
      <c r="G51" s="3"/>
      <c r="H51" s="15">
        <v>27417</v>
      </c>
      <c r="I51" s="26">
        <f t="shared" si="0"/>
        <v>4135182</v>
      </c>
    </row>
    <row r="52" spans="1:9">
      <c r="A52" s="1">
        <v>46113</v>
      </c>
      <c r="B52" s="7">
        <v>46126</v>
      </c>
      <c r="C52" s="8" t="s">
        <v>34</v>
      </c>
      <c r="D52" s="9"/>
      <c r="E52" s="3" t="s">
        <v>5</v>
      </c>
      <c r="F52" s="3" t="s">
        <v>58</v>
      </c>
      <c r="G52" s="13">
        <v>0</v>
      </c>
      <c r="H52" s="15">
        <v>45134</v>
      </c>
      <c r="I52" s="26">
        <f t="shared" si="0"/>
        <v>4180316</v>
      </c>
    </row>
    <row r="53" spans="1:9">
      <c r="A53" s="1">
        <v>46113</v>
      </c>
      <c r="B53" s="7">
        <v>46127</v>
      </c>
      <c r="C53" s="8" t="s">
        <v>35</v>
      </c>
      <c r="D53" s="9"/>
      <c r="E53" s="3"/>
      <c r="F53" s="3"/>
      <c r="G53" s="13">
        <v>0</v>
      </c>
      <c r="H53" s="15">
        <v>1500000</v>
      </c>
      <c r="I53" s="26">
        <f t="shared" si="0"/>
        <v>5680316</v>
      </c>
    </row>
    <row r="54" spans="1:9">
      <c r="A54" s="1">
        <v>46113</v>
      </c>
      <c r="B54" s="7">
        <v>46127</v>
      </c>
      <c r="C54" s="8" t="s">
        <v>35</v>
      </c>
      <c r="D54" s="9"/>
      <c r="E54" s="3"/>
      <c r="F54" s="3"/>
      <c r="G54" s="13">
        <v>0</v>
      </c>
      <c r="H54" s="15">
        <v>500000</v>
      </c>
      <c r="I54" s="26">
        <f t="shared" si="0"/>
        <v>6180316</v>
      </c>
    </row>
    <row r="55" spans="1:9">
      <c r="A55" s="1">
        <v>46113</v>
      </c>
      <c r="B55" s="7">
        <v>46127</v>
      </c>
      <c r="C55" s="8" t="s">
        <v>36</v>
      </c>
      <c r="D55" s="9"/>
      <c r="E55" s="3" t="s">
        <v>3</v>
      </c>
      <c r="F55" s="3"/>
      <c r="G55" s="13">
        <v>5949445</v>
      </c>
      <c r="H55" s="15">
        <v>0</v>
      </c>
      <c r="I55" s="26">
        <f t="shared" si="0"/>
        <v>230871</v>
      </c>
    </row>
    <row r="56" spans="1:9">
      <c r="A56" s="1">
        <v>46113</v>
      </c>
      <c r="B56" s="7">
        <v>46128</v>
      </c>
      <c r="C56" s="8" t="s">
        <v>34</v>
      </c>
      <c r="D56" s="9"/>
      <c r="E56" s="3" t="s">
        <v>5</v>
      </c>
      <c r="F56" s="3" t="s">
        <v>59</v>
      </c>
      <c r="G56" s="13"/>
      <c r="H56" s="15">
        <v>72311</v>
      </c>
      <c r="I56" s="26">
        <f t="shared" si="0"/>
        <v>303182</v>
      </c>
    </row>
    <row r="57" spans="1:9">
      <c r="A57" s="1">
        <v>46113</v>
      </c>
      <c r="B57" s="7">
        <v>46132</v>
      </c>
      <c r="C57" s="8" t="s">
        <v>34</v>
      </c>
      <c r="D57" s="9"/>
      <c r="E57" s="3" t="s">
        <v>5</v>
      </c>
      <c r="F57" s="3" t="s">
        <v>60</v>
      </c>
      <c r="G57" s="13"/>
      <c r="H57" s="15">
        <v>17618</v>
      </c>
      <c r="I57" s="26">
        <f t="shared" si="0"/>
        <v>320800</v>
      </c>
    </row>
    <row r="58" spans="1:9">
      <c r="A58" s="1">
        <v>46113</v>
      </c>
      <c r="B58" s="7">
        <v>46133</v>
      </c>
      <c r="C58" s="8" t="s">
        <v>34</v>
      </c>
      <c r="D58" s="9"/>
      <c r="E58" s="3" t="s">
        <v>5</v>
      </c>
      <c r="F58" s="3" t="s">
        <v>61</v>
      </c>
      <c r="G58" s="13"/>
      <c r="H58" s="15">
        <v>62802</v>
      </c>
      <c r="I58" s="26">
        <f t="shared" si="0"/>
        <v>383602</v>
      </c>
    </row>
    <row r="59" spans="1:9">
      <c r="A59" s="1">
        <v>46113</v>
      </c>
      <c r="B59" s="7">
        <v>46134</v>
      </c>
      <c r="C59" s="8" t="s">
        <v>37</v>
      </c>
      <c r="D59" s="9"/>
      <c r="E59" s="3" t="s">
        <v>5</v>
      </c>
      <c r="F59" s="3">
        <v>2516</v>
      </c>
      <c r="G59" s="13"/>
      <c r="H59" s="15">
        <v>285600</v>
      </c>
      <c r="I59" s="26">
        <f t="shared" si="0"/>
        <v>669202</v>
      </c>
    </row>
    <row r="60" spans="1:9">
      <c r="A60" s="1">
        <v>46113</v>
      </c>
      <c r="B60" s="7">
        <v>46134</v>
      </c>
      <c r="C60" s="8" t="s">
        <v>34</v>
      </c>
      <c r="D60" s="9"/>
      <c r="E60" s="3" t="s">
        <v>5</v>
      </c>
      <c r="F60" s="3" t="s">
        <v>62</v>
      </c>
      <c r="G60" s="13"/>
      <c r="H60" s="15">
        <v>35092</v>
      </c>
      <c r="I60" s="26">
        <f t="shared" si="0"/>
        <v>704294</v>
      </c>
    </row>
    <row r="61" spans="1:9">
      <c r="A61" s="1">
        <v>46113</v>
      </c>
      <c r="B61" s="7">
        <v>46136</v>
      </c>
      <c r="C61" s="8" t="s">
        <v>34</v>
      </c>
      <c r="D61" s="9"/>
      <c r="E61" s="3" t="s">
        <v>5</v>
      </c>
      <c r="F61" s="3" t="s">
        <v>63</v>
      </c>
      <c r="G61" s="13"/>
      <c r="H61" s="15">
        <v>26426</v>
      </c>
      <c r="I61" s="26">
        <f t="shared" si="0"/>
        <v>730720</v>
      </c>
    </row>
    <row r="62" spans="1:9">
      <c r="A62" s="1">
        <v>46113</v>
      </c>
      <c r="B62" s="7">
        <v>46139</v>
      </c>
      <c r="C62" s="8" t="s">
        <v>38</v>
      </c>
      <c r="D62" s="9"/>
      <c r="E62" s="3" t="s">
        <v>11</v>
      </c>
      <c r="F62" s="3"/>
      <c r="G62" s="13">
        <v>90256</v>
      </c>
      <c r="H62" s="15">
        <v>0</v>
      </c>
      <c r="I62" s="26">
        <f t="shared" si="0"/>
        <v>640464</v>
      </c>
    </row>
    <row r="63" spans="1:9">
      <c r="A63" s="1">
        <v>46113</v>
      </c>
      <c r="B63" s="7">
        <v>46139</v>
      </c>
      <c r="C63" s="8" t="s">
        <v>39</v>
      </c>
      <c r="D63" s="9"/>
      <c r="E63" s="3" t="s">
        <v>11</v>
      </c>
      <c r="F63" s="3"/>
      <c r="G63" s="13">
        <v>63035</v>
      </c>
      <c r="H63" s="15">
        <v>0</v>
      </c>
      <c r="I63" s="26">
        <f t="shared" si="0"/>
        <v>577429</v>
      </c>
    </row>
    <row r="64" spans="1:9">
      <c r="A64" s="1">
        <v>46113</v>
      </c>
      <c r="B64" s="7">
        <v>46139</v>
      </c>
      <c r="C64" s="8" t="s">
        <v>40</v>
      </c>
      <c r="D64" s="9"/>
      <c r="E64" s="3" t="s">
        <v>13</v>
      </c>
      <c r="F64" s="3"/>
      <c r="G64" s="13">
        <v>6064</v>
      </c>
      <c r="H64" s="15">
        <v>0</v>
      </c>
      <c r="I64" s="26">
        <f t="shared" si="0"/>
        <v>571365</v>
      </c>
    </row>
    <row r="65" spans="1:9">
      <c r="A65" s="1">
        <v>46113</v>
      </c>
      <c r="B65" s="7">
        <v>46139</v>
      </c>
      <c r="C65" s="8" t="s">
        <v>41</v>
      </c>
      <c r="D65" s="9"/>
      <c r="E65" s="3" t="s">
        <v>13</v>
      </c>
      <c r="F65" s="3"/>
      <c r="G65" s="13">
        <v>1152</v>
      </c>
      <c r="H65" s="15">
        <v>0</v>
      </c>
      <c r="I65" s="26">
        <f t="shared" si="0"/>
        <v>570213</v>
      </c>
    </row>
    <row r="66" spans="1:9">
      <c r="A66" s="1">
        <v>46113</v>
      </c>
      <c r="B66" s="7">
        <v>46141</v>
      </c>
      <c r="C66" s="8" t="s">
        <v>34</v>
      </c>
      <c r="D66" s="9"/>
      <c r="E66" s="3" t="s">
        <v>5</v>
      </c>
      <c r="F66" s="3" t="s">
        <v>64</v>
      </c>
      <c r="G66" s="13">
        <v>0</v>
      </c>
      <c r="H66" s="15">
        <v>26245</v>
      </c>
      <c r="I66" s="26">
        <f t="shared" ref="I66:I67" si="1">I65-G66+H66</f>
        <v>596458</v>
      </c>
    </row>
    <row r="67" spans="1:9">
      <c r="A67" s="1">
        <v>46143</v>
      </c>
      <c r="B67" s="10">
        <v>46146</v>
      </c>
      <c r="C67" s="11" t="s">
        <v>29</v>
      </c>
      <c r="E67" s="3" t="s">
        <v>5</v>
      </c>
      <c r="F67">
        <v>2524</v>
      </c>
      <c r="H67" s="16">
        <v>121380</v>
      </c>
      <c r="I67" s="26">
        <f t="shared" si="1"/>
        <v>717838</v>
      </c>
    </row>
    <row r="68" spans="1:9">
      <c r="A68" s="1">
        <v>46143</v>
      </c>
      <c r="B68" s="10">
        <v>46147</v>
      </c>
      <c r="C68" s="12" t="s">
        <v>28</v>
      </c>
      <c r="E68" s="3" t="s">
        <v>5</v>
      </c>
      <c r="H68" s="16">
        <v>37999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Yapur Fenieux Mariel W.MSCBA.2101</dc:creator>
  <cp:lastModifiedBy>Yapur Fenieux Mariel W.MSCBA.2101</cp:lastModifiedBy>
  <dcterms:created xsi:type="dcterms:W3CDTF">2026-05-10T19:10:48Z</dcterms:created>
  <dcterms:modified xsi:type="dcterms:W3CDTF">2026-05-10T19:19:55Z</dcterms:modified>
</cp:coreProperties>
</file>